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urtish/Documents/codeathon2026/metadata-curation-harmonization/reports/"/>
    </mc:Choice>
  </mc:AlternateContent>
  <xr:revisionPtr revIDLastSave="0" documentId="13_ncr:1_{11785194-BEDF-7449-931A-C98BB59A7624}" xr6:coauthVersionLast="47" xr6:coauthVersionMax="47" xr10:uidLastSave="{00000000-0000-0000-0000-000000000000}"/>
  <bookViews>
    <workbookView xWindow="4060" yWindow="2580" windowWidth="27240" windowHeight="16180" activeTab="2" xr2:uid="{39223533-88C1-324C-BCB7-CCCCEFC6E7F0}"/>
  </bookViews>
  <sheets>
    <sheet name="v1.curated.309uniq" sheetId="2" r:id="rId1"/>
    <sheet name="v1.data" sheetId="1" r:id="rId2"/>
    <sheet name="v2.records_vs_time" sheetId="4" r:id="rId3"/>
    <sheet name="v2.data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1" i="3" l="1"/>
  <c r="G13" i="3"/>
  <c r="G14" i="3"/>
  <c r="G15" i="3"/>
  <c r="G10" i="3"/>
  <c r="G9" i="3"/>
  <c r="G8" i="3"/>
  <c r="G7" i="3"/>
  <c r="G6" i="3"/>
  <c r="G5" i="3"/>
  <c r="G4" i="3"/>
  <c r="G3" i="3"/>
  <c r="G2" i="3"/>
  <c r="F2" i="1"/>
  <c r="F4" i="1"/>
  <c r="F5" i="1"/>
  <c r="F6" i="1"/>
  <c r="F7" i="1"/>
  <c r="F8" i="1"/>
  <c r="F9" i="1"/>
  <c r="F10" i="1"/>
  <c r="F11" i="1"/>
  <c r="F3" i="1"/>
</calcChain>
</file>

<file path=xl/sharedStrings.xml><?xml version="1.0" encoding="utf-8"?>
<sst xmlns="http://schemas.openxmlformats.org/spreadsheetml/2006/main" count="73" uniqueCount="38">
  <si>
    <t>Machine</t>
  </si>
  <si>
    <t>dataset</t>
  </si>
  <si>
    <t>Task</t>
  </si>
  <si>
    <t>workers</t>
  </si>
  <si>
    <t>Total Time</t>
  </si>
  <si>
    <t>Genome-hsv1</t>
  </si>
  <si>
    <t>V1</t>
  </si>
  <si>
    <t>Head10</t>
  </si>
  <si>
    <t>0m28s</t>
  </si>
  <si>
    <t>309_unique</t>
  </si>
  <si>
    <t>2m50s</t>
  </si>
  <si>
    <t>2m14s</t>
  </si>
  <si>
    <t>1m05s</t>
  </si>
  <si>
    <t>1m08s</t>
  </si>
  <si>
    <t>0m57s</t>
  </si>
  <si>
    <t>1m44s</t>
  </si>
  <si>
    <t>5k_curated</t>
  </si>
  <si>
    <t>41m08s</t>
  </si>
  <si>
    <t>1m20s</t>
  </si>
  <si>
    <t>1h11s</t>
  </si>
  <si>
    <t>Total Seconds</t>
  </si>
  <si>
    <t>Genome-hsv1:</t>
  </si>
  <si>
    <t>Macbook Pro M4, 48G RAM, 14 cores</t>
  </si>
  <si>
    <t>V1: https://ftp.ncbi.nlm.nih.gov/.baby/datafiles/.argonne/combined.jsonl.gz</t>
  </si>
  <si>
    <t xml:space="preserve">  158339 dataset/v1/combined.jsonl</t>
  </si>
  <si>
    <t>    5211 dataset/v1/curated_combined.jsonl</t>
  </si>
  <si>
    <t>     309 dataset/v1/curated_combined.unique_isolation_host.jsonl</t>
  </si>
  <si>
    <t>V2: https://ftp.ncbi.nlm.nih.gov/pub/datasets/.argonne/combined.v2.jsonl.gz</t>
  </si>
  <si>
    <t>  167642 dataset/v2/combined.jsonl</t>
  </si>
  <si>
    <t>    6008 dataset/v2/curated_combined.jsonl</t>
  </si>
  <si>
    <t>     232 dataset/v2/curated_combined.unique_isolation_host.jsonl</t>
  </si>
  <si>
    <t>V2</t>
  </si>
  <si>
    <t>0m20s</t>
  </si>
  <si>
    <t>232_unique</t>
  </si>
  <si>
    <t>6k_curated</t>
  </si>
  <si>
    <t>13m27s</t>
  </si>
  <si>
    <t>168k_combined</t>
  </si>
  <si>
    <t>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</si>
</sst>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6"/>
      <color rgb="FF1E4E79"/>
      <name val="Calibri"/>
      <family val="2"/>
    </font>
    <font>
      <sz val="11"/>
      <color rgb="FF000000"/>
      <name val="Calibri"/>
      <family val="2"/>
    </font>
    <font>
      <sz val="11.25"/>
      <color rgb="FF000000"/>
      <name val="Menlo"/>
      <family val="2"/>
    </font>
    <font>
      <sz val="11"/>
      <color rgb="FF000000"/>
      <name val="Menlo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4"/>
    </xf>
    <xf numFmtId="0" fontId="6" fillId="0" borderId="0" xfId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/>
              <a:t>dataset v1 curated, 309 unique</a:t>
            </a:r>
            <a:r>
              <a:rPr lang="en-US" sz="3200" baseline="0"/>
              <a:t> records</a:t>
            </a:r>
          </a:p>
          <a:p>
            <a:pPr>
              <a:defRPr sz="3200"/>
            </a:pPr>
            <a:r>
              <a:rPr lang="en-US" sz="3200" baseline="0"/>
              <a:t>(Mac Powerbook M4 48G RAM, 14 Cores)</a:t>
            </a:r>
            <a:endParaRPr lang="en-US" sz="3200"/>
          </a:p>
        </c:rich>
      </c:tx>
      <c:layout>
        <c:manualLayout>
          <c:xMode val="edge"/>
          <c:yMode val="edge"/>
          <c:x val="0.1412989833470156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'v1.data'!$F$1</c:f>
              <c:strCache>
                <c:ptCount val="1"/>
                <c:pt idx="0">
                  <c:v>Total Seconds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9850">
                <a:solidFill>
                  <a:schemeClr val="accent1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7.4202633995112705E-2"/>
                  <c:y val="8.252256887413597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4833836697567357E-2"/>
                      <c:h val="4.561591082714630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28B-5E4E-99B7-970848BE06A5}"/>
                </c:ext>
              </c:extLst>
            </c:dLbl>
            <c:dLbl>
              <c:idx val="4"/>
              <c:layout>
                <c:manualLayout>
                  <c:x val="-1.8488346466674001E-2"/>
                  <c:y val="7.74620948588439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4833836697567357E-2"/>
                      <c:h val="5.978546121248953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E28B-5E4E-99B7-970848BE06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'v1.data'!$D$3:$D$10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6">
                  <c:v>100</c:v>
                </c:pt>
                <c:pt idx="7">
                  <c:v>400</c:v>
                </c:pt>
              </c:numCache>
            </c:numRef>
          </c:xVal>
          <c:yVal>
            <c:numRef>
              <c:f>'v1.data'!$F$3:$F$10</c:f>
              <c:numCache>
                <c:formatCode>General</c:formatCode>
                <c:ptCount val="8"/>
                <c:pt idx="0">
                  <c:v>170</c:v>
                </c:pt>
                <c:pt idx="1">
                  <c:v>134</c:v>
                </c:pt>
                <c:pt idx="2">
                  <c:v>80</c:v>
                </c:pt>
                <c:pt idx="3">
                  <c:v>65</c:v>
                </c:pt>
                <c:pt idx="4">
                  <c:v>68</c:v>
                </c:pt>
                <c:pt idx="5">
                  <c:v>57</c:v>
                </c:pt>
                <c:pt idx="6">
                  <c:v>71</c:v>
                </c:pt>
                <c:pt idx="7">
                  <c:v>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8B-5E4E-99B7-970848BE0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050495"/>
        <c:axId val="526052287"/>
      </c:scatterChart>
      <c:valAx>
        <c:axId val="52605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/>
                  <a:t>total</a:t>
                </a:r>
                <a:r>
                  <a:rPr lang="en-US" sz="2400" baseline="0"/>
                  <a:t> runtime (seconds)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052287"/>
        <c:crosses val="autoZero"/>
        <c:crossBetween val="midCat"/>
      </c:valAx>
      <c:valAx>
        <c:axId val="52605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200"/>
                  <a:t>workers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05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/>
              <a:t>dataset</a:t>
            </a:r>
            <a:r>
              <a:rPr lang="en-US" sz="3200" baseline="0"/>
              <a:t> v2; workers =40, records vs time</a:t>
            </a:r>
          </a:p>
          <a:p>
            <a:pPr>
              <a:defRPr sz="3200"/>
            </a:pPr>
            <a:r>
              <a:rPr lang="en-US" sz="3200" baseline="0"/>
              <a:t>Macbook Pro M4 48G RAM 14 cores</a:t>
            </a:r>
            <a:endParaRPr lang="en-US" sz="3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'v2.data'!$G$12</c:f>
              <c:strCache>
                <c:ptCount val="1"/>
                <c:pt idx="0">
                  <c:v>Total Seconds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01600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1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'v2.data'!$F$13:$F$16</c:f>
              <c:numCache>
                <c:formatCode>General</c:formatCode>
                <c:ptCount val="4"/>
                <c:pt idx="0">
                  <c:v>10</c:v>
                </c:pt>
                <c:pt idx="1">
                  <c:v>232</c:v>
                </c:pt>
                <c:pt idx="2">
                  <c:v>6000</c:v>
                </c:pt>
                <c:pt idx="3">
                  <c:v>168000</c:v>
                </c:pt>
              </c:numCache>
            </c:numRef>
          </c:xVal>
          <c:yVal>
            <c:numRef>
              <c:f>'v2.data'!$G$13:$G$16</c:f>
              <c:numCache>
                <c:formatCode>General</c:formatCode>
                <c:ptCount val="4"/>
                <c:pt idx="0">
                  <c:v>20</c:v>
                </c:pt>
                <c:pt idx="1">
                  <c:v>65</c:v>
                </c:pt>
                <c:pt idx="2">
                  <c:v>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CF-374A-818E-E6D9A72E7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207295"/>
        <c:axId val="526049599"/>
      </c:scatterChart>
      <c:valAx>
        <c:axId val="638207295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records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049599"/>
        <c:crosses val="autoZero"/>
        <c:crossBetween val="midCat"/>
      </c:valAx>
      <c:valAx>
        <c:axId val="52604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runtime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207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D96F575-9D82-314D-8471-6CB914880F52}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420B6BE-29B8-D043-BA7D-899878F36EC6}">
  <sheetPr/>
  <sheetViews>
    <sheetView tabSelected="1" zoomScale="11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8487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2887AB-E3DE-CB7D-C5A6-C1B1D5613BE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7401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984D67-349C-F86B-5656-C2DF1F7E28F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tp.ncbi.nlm.nih.gov/pub/datasets/.argonne/combined.v2.jsonl.gz" TargetMode="External"/><Relationship Id="rId1" Type="http://schemas.openxmlformats.org/officeDocument/2006/relationships/hyperlink" Target="https://ftp.ncbi.nlm.nih.gov/.baby/datafiles/.argonne/combined.jsonl.gz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ftp.ncbi.nlm.nih.gov/pub/datasets/.argonne/combined.v2.jsonl.gz" TargetMode="External"/><Relationship Id="rId1" Type="http://schemas.openxmlformats.org/officeDocument/2006/relationships/hyperlink" Target="https://ftp.ncbi.nlm.nih.gov/.baby/datafiles/.argonne/combined.jsonl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A0707-487D-EE4A-9A53-19C6C15003EC}">
  <dimension ref="A1:F27"/>
  <sheetViews>
    <sheetView workbookViewId="0">
      <selection activeCell="F1" sqref="F1:F11"/>
    </sheetView>
  </sheetViews>
  <sheetFormatPr baseColWidth="10" defaultRowHeight="16" x14ac:dyDescent="0.2"/>
  <sheetData>
    <row r="1" spans="1:6" ht="4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20</v>
      </c>
    </row>
    <row r="2" spans="1:6" ht="33" thickBot="1" x14ac:dyDescent="0.25">
      <c r="A2" s="2" t="s">
        <v>5</v>
      </c>
      <c r="B2" s="2" t="s">
        <v>6</v>
      </c>
      <c r="C2" s="2" t="s">
        <v>7</v>
      </c>
      <c r="D2" s="2">
        <v>10</v>
      </c>
      <c r="E2" s="2" t="s">
        <v>8</v>
      </c>
      <c r="F2">
        <f>INT(LEFT(E2,1))*60+INT(LEFT(RIGHT(E2,3),2))</f>
        <v>28</v>
      </c>
    </row>
    <row r="3" spans="1:6" ht="17" thickBot="1" x14ac:dyDescent="0.25">
      <c r="A3" s="2"/>
      <c r="B3" s="2"/>
      <c r="C3" s="2" t="s">
        <v>9</v>
      </c>
      <c r="D3" s="3">
        <v>10</v>
      </c>
      <c r="E3" s="3" t="s">
        <v>10</v>
      </c>
      <c r="F3">
        <f>INT(LEFT(E3,1))*60+INT(LEFT(RIGHT(E3,3),2))</f>
        <v>170</v>
      </c>
    </row>
    <row r="4" spans="1:6" ht="17" thickBot="1" x14ac:dyDescent="0.25">
      <c r="A4" s="2"/>
      <c r="B4" s="2"/>
      <c r="C4" s="2"/>
      <c r="D4" s="2">
        <v>20</v>
      </c>
      <c r="E4" s="2" t="s">
        <v>11</v>
      </c>
      <c r="F4">
        <f t="shared" ref="F4:F11" si="0">INT(LEFT(E4,1))*60+INT(LEFT(RIGHT(E4,3),2))</f>
        <v>134</v>
      </c>
    </row>
    <row r="5" spans="1:6" ht="17" thickBot="1" x14ac:dyDescent="0.25">
      <c r="A5" s="2"/>
      <c r="B5" s="2"/>
      <c r="C5" s="2"/>
      <c r="D5" s="2">
        <v>30</v>
      </c>
      <c r="E5" s="2" t="s">
        <v>18</v>
      </c>
      <c r="F5">
        <f t="shared" si="0"/>
        <v>80</v>
      </c>
    </row>
    <row r="6" spans="1:6" ht="17" thickBot="1" x14ac:dyDescent="0.25">
      <c r="A6" s="2"/>
      <c r="B6" s="2"/>
      <c r="C6" s="2"/>
      <c r="D6" s="2">
        <v>40</v>
      </c>
      <c r="E6" s="2" t="s">
        <v>12</v>
      </c>
      <c r="F6">
        <f t="shared" si="0"/>
        <v>65</v>
      </c>
    </row>
    <row r="7" spans="1:6" x14ac:dyDescent="0.2">
      <c r="A7" s="12"/>
      <c r="B7" s="12"/>
      <c r="C7" s="12"/>
      <c r="D7" s="14">
        <v>50</v>
      </c>
      <c r="E7" s="4" t="s">
        <v>13</v>
      </c>
      <c r="F7">
        <f t="shared" si="0"/>
        <v>68</v>
      </c>
    </row>
    <row r="8" spans="1:6" ht="17" thickBot="1" x14ac:dyDescent="0.25">
      <c r="A8" s="13"/>
      <c r="B8" s="13"/>
      <c r="C8" s="13"/>
      <c r="D8" s="15"/>
      <c r="E8" s="5" t="s">
        <v>14</v>
      </c>
      <c r="F8">
        <f t="shared" si="0"/>
        <v>57</v>
      </c>
    </row>
    <row r="9" spans="1:6" ht="17" thickBot="1" x14ac:dyDescent="0.25">
      <c r="A9" s="2"/>
      <c r="B9" s="2"/>
      <c r="C9" s="2"/>
      <c r="D9" s="3">
        <v>100</v>
      </c>
      <c r="E9" s="3" t="s">
        <v>19</v>
      </c>
      <c r="F9">
        <f t="shared" si="0"/>
        <v>71</v>
      </c>
    </row>
    <row r="10" spans="1:6" ht="17" thickBot="1" x14ac:dyDescent="0.25">
      <c r="A10" s="2"/>
      <c r="B10" s="2"/>
      <c r="C10" s="2"/>
      <c r="D10" s="3">
        <v>400</v>
      </c>
      <c r="E10" s="3" t="s">
        <v>15</v>
      </c>
      <c r="F10">
        <f t="shared" si="0"/>
        <v>104</v>
      </c>
    </row>
    <row r="11" spans="1:6" ht="17" thickBot="1" x14ac:dyDescent="0.25">
      <c r="A11" s="2"/>
      <c r="B11" s="2"/>
      <c r="C11" s="2" t="s">
        <v>16</v>
      </c>
      <c r="D11" s="2">
        <v>10</v>
      </c>
      <c r="E11" s="2" t="s">
        <v>17</v>
      </c>
      <c r="F11">
        <f t="shared" si="0"/>
        <v>248</v>
      </c>
    </row>
    <row r="14" spans="1:6" x14ac:dyDescent="0.2">
      <c r="A14" s="7" t="s">
        <v>21</v>
      </c>
    </row>
    <row r="15" spans="1:6" x14ac:dyDescent="0.2">
      <c r="A15" s="8" t="s">
        <v>22</v>
      </c>
    </row>
    <row r="16" spans="1:6" x14ac:dyDescent="0.2">
      <c r="A16" s="8"/>
    </row>
    <row r="17" spans="1:1" x14ac:dyDescent="0.2">
      <c r="A17" s="9" t="s">
        <v>23</v>
      </c>
    </row>
    <row r="18" spans="1:1" x14ac:dyDescent="0.2">
      <c r="A18" s="10" t="s">
        <v>24</v>
      </c>
    </row>
    <row r="19" spans="1:1" x14ac:dyDescent="0.2">
      <c r="A19" s="10" t="s">
        <v>25</v>
      </c>
    </row>
    <row r="20" spans="1:1" x14ac:dyDescent="0.2">
      <c r="A20" s="10" t="s">
        <v>26</v>
      </c>
    </row>
    <row r="21" spans="1:1" x14ac:dyDescent="0.2">
      <c r="A21" s="11"/>
    </row>
    <row r="22" spans="1:1" x14ac:dyDescent="0.2">
      <c r="A22" s="7"/>
    </row>
    <row r="23" spans="1:1" x14ac:dyDescent="0.2">
      <c r="A23" s="9" t="s">
        <v>27</v>
      </c>
    </row>
    <row r="24" spans="1:1" x14ac:dyDescent="0.2">
      <c r="A24" s="10" t="s">
        <v>28</v>
      </c>
    </row>
    <row r="25" spans="1:1" x14ac:dyDescent="0.2">
      <c r="A25" s="10" t="s">
        <v>29</v>
      </c>
    </row>
    <row r="26" spans="1:1" x14ac:dyDescent="0.2">
      <c r="A26" s="10" t="s">
        <v>30</v>
      </c>
    </row>
    <row r="27" spans="1:1" x14ac:dyDescent="0.2">
      <c r="A27" s="7"/>
    </row>
  </sheetData>
  <mergeCells count="4">
    <mergeCell ref="A7:A8"/>
    <mergeCell ref="B7:B8"/>
    <mergeCell ref="C7:C8"/>
    <mergeCell ref="D7:D8"/>
  </mergeCells>
  <hyperlinks>
    <hyperlink ref="A17" r:id="rId1" display="https://ftp.ncbi.nlm.nih.gov/.baby/datafiles/.argonne/combined.jsonl.gz" xr:uid="{16E335CB-E944-AF4B-8F47-7CB4E49233C9}"/>
    <hyperlink ref="A23" r:id="rId2" display="https://ftp.ncbi.nlm.nih.gov/pub/datasets/.argonne/combined.v2.jsonl.gz" xr:uid="{86F1DD02-3736-254F-B433-5A019F374FF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38C45-BFFF-294C-921D-53562624ABDF}">
  <dimension ref="A1:J16"/>
  <sheetViews>
    <sheetView topLeftCell="A4" workbookViewId="0">
      <selection activeCell="H27" sqref="H27"/>
    </sheetView>
  </sheetViews>
  <sheetFormatPr baseColWidth="10" defaultRowHeight="16" x14ac:dyDescent="0.2"/>
  <sheetData>
    <row r="1" spans="1:10" ht="4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/>
      <c r="G1" s="6" t="s">
        <v>20</v>
      </c>
      <c r="H1" s="16"/>
      <c r="I1" s="16"/>
    </row>
    <row r="2" spans="1:10" ht="33" thickBot="1" x14ac:dyDescent="0.25">
      <c r="A2" s="2" t="s">
        <v>5</v>
      </c>
      <c r="B2" s="2" t="s">
        <v>6</v>
      </c>
      <c r="C2" s="2" t="s">
        <v>7</v>
      </c>
      <c r="D2" s="2">
        <v>10</v>
      </c>
      <c r="E2" s="2" t="s">
        <v>8</v>
      </c>
      <c r="F2" s="17"/>
      <c r="G2">
        <f>INT(LEFT(E2,1))*60+INT(LEFT(RIGHT(E2,3),2))</f>
        <v>28</v>
      </c>
    </row>
    <row r="3" spans="1:10" ht="17" thickBot="1" x14ac:dyDescent="0.25">
      <c r="A3" s="2"/>
      <c r="B3" s="2"/>
      <c r="C3" s="2" t="s">
        <v>9</v>
      </c>
      <c r="D3" s="3">
        <v>10</v>
      </c>
      <c r="E3" s="3" t="s">
        <v>10</v>
      </c>
      <c r="F3" s="18"/>
      <c r="G3">
        <f>INT(LEFT(E3,1))*60+INT(LEFT(RIGHT(E3,3),2))</f>
        <v>170</v>
      </c>
      <c r="J3" s="7" t="s">
        <v>21</v>
      </c>
    </row>
    <row r="4" spans="1:10" ht="17" thickBot="1" x14ac:dyDescent="0.25">
      <c r="A4" s="2"/>
      <c r="B4" s="2"/>
      <c r="C4" s="2"/>
      <c r="D4" s="2">
        <v>20</v>
      </c>
      <c r="E4" s="2" t="s">
        <v>11</v>
      </c>
      <c r="F4" s="17"/>
      <c r="G4">
        <f t="shared" ref="G4:G11" si="0">INT(LEFT(E4,1))*60+INT(LEFT(RIGHT(E4,3),2))</f>
        <v>134</v>
      </c>
      <c r="J4" s="8" t="s">
        <v>22</v>
      </c>
    </row>
    <row r="5" spans="1:10" ht="17" thickBot="1" x14ac:dyDescent="0.25">
      <c r="A5" s="2"/>
      <c r="B5" s="2"/>
      <c r="C5" s="2"/>
      <c r="D5" s="2">
        <v>30</v>
      </c>
      <c r="E5" s="2" t="s">
        <v>18</v>
      </c>
      <c r="F5" s="17"/>
      <c r="G5">
        <f t="shared" si="0"/>
        <v>80</v>
      </c>
      <c r="J5" s="8"/>
    </row>
    <row r="6" spans="1:10" ht="17" thickBot="1" x14ac:dyDescent="0.25">
      <c r="A6" s="2"/>
      <c r="B6" s="2"/>
      <c r="C6" s="2"/>
      <c r="D6" s="2">
        <v>40</v>
      </c>
      <c r="E6" s="2" t="s">
        <v>12</v>
      </c>
      <c r="F6" s="17"/>
      <c r="G6">
        <f t="shared" si="0"/>
        <v>65</v>
      </c>
      <c r="J6" s="9" t="s">
        <v>23</v>
      </c>
    </row>
    <row r="7" spans="1:10" x14ac:dyDescent="0.2">
      <c r="A7" s="12"/>
      <c r="B7" s="12"/>
      <c r="C7" s="12"/>
      <c r="D7" s="14">
        <v>50</v>
      </c>
      <c r="E7" s="4" t="s">
        <v>13</v>
      </c>
      <c r="F7" s="18"/>
      <c r="G7">
        <f t="shared" si="0"/>
        <v>68</v>
      </c>
      <c r="J7" s="10" t="s">
        <v>24</v>
      </c>
    </row>
    <row r="8" spans="1:10" ht="17" thickBot="1" x14ac:dyDescent="0.25">
      <c r="A8" s="13"/>
      <c r="B8" s="13"/>
      <c r="C8" s="13"/>
      <c r="D8" s="15"/>
      <c r="E8" s="5" t="s">
        <v>14</v>
      </c>
      <c r="F8" s="18"/>
      <c r="G8">
        <f t="shared" si="0"/>
        <v>57</v>
      </c>
      <c r="J8" s="10" t="s">
        <v>25</v>
      </c>
    </row>
    <row r="9" spans="1:10" ht="17" thickBot="1" x14ac:dyDescent="0.25">
      <c r="A9" s="2"/>
      <c r="B9" s="2"/>
      <c r="C9" s="2"/>
      <c r="D9" s="3">
        <v>100</v>
      </c>
      <c r="E9" s="3" t="s">
        <v>19</v>
      </c>
      <c r="F9" s="18"/>
      <c r="G9">
        <f t="shared" si="0"/>
        <v>71</v>
      </c>
      <c r="J9" s="10" t="s">
        <v>26</v>
      </c>
    </row>
    <row r="10" spans="1:10" ht="17" thickBot="1" x14ac:dyDescent="0.25">
      <c r="A10" s="2"/>
      <c r="B10" s="2"/>
      <c r="C10" s="2"/>
      <c r="D10" s="3">
        <v>400</v>
      </c>
      <c r="E10" s="3" t="s">
        <v>15</v>
      </c>
      <c r="F10" s="18"/>
      <c r="G10">
        <f t="shared" si="0"/>
        <v>104</v>
      </c>
      <c r="J10" s="11"/>
    </row>
    <row r="11" spans="1:10" ht="17" thickBot="1" x14ac:dyDescent="0.25">
      <c r="A11" s="2"/>
      <c r="B11" s="2"/>
      <c r="C11" s="2" t="s">
        <v>16</v>
      </c>
      <c r="D11" s="2">
        <v>10</v>
      </c>
      <c r="E11" s="2" t="s">
        <v>17</v>
      </c>
      <c r="F11" s="17"/>
      <c r="G11">
        <f t="shared" si="0"/>
        <v>248</v>
      </c>
      <c r="J11" s="7"/>
    </row>
    <row r="12" spans="1:10" ht="45" thickBot="1" x14ac:dyDescent="0.25">
      <c r="A12" s="2"/>
      <c r="B12" s="2"/>
      <c r="C12" s="2"/>
      <c r="D12" s="2"/>
      <c r="E12" s="2"/>
      <c r="F12" s="6" t="s">
        <v>37</v>
      </c>
      <c r="G12" s="6" t="s">
        <v>20</v>
      </c>
      <c r="H12" s="16"/>
      <c r="I12" s="16"/>
      <c r="J12" s="9" t="s">
        <v>27</v>
      </c>
    </row>
    <row r="13" spans="1:10" ht="33" thickBot="1" x14ac:dyDescent="0.25">
      <c r="A13" s="2" t="s">
        <v>5</v>
      </c>
      <c r="B13" s="2" t="s">
        <v>31</v>
      </c>
      <c r="C13" s="2" t="s">
        <v>7</v>
      </c>
      <c r="D13" s="2">
        <v>30</v>
      </c>
      <c r="E13" s="2" t="s">
        <v>32</v>
      </c>
      <c r="F13" s="17">
        <v>10</v>
      </c>
      <c r="G13">
        <f>INT(LEFT(E13,1))*60+INT(LEFT(RIGHT(E13,3),2))</f>
        <v>20</v>
      </c>
      <c r="J13" s="10" t="s">
        <v>28</v>
      </c>
    </row>
    <row r="14" spans="1:10" ht="17" thickBot="1" x14ac:dyDescent="0.25">
      <c r="A14" s="2"/>
      <c r="B14" s="2"/>
      <c r="C14" s="2" t="s">
        <v>33</v>
      </c>
      <c r="D14" s="2">
        <v>40</v>
      </c>
      <c r="E14" s="2" t="s">
        <v>12</v>
      </c>
      <c r="F14" s="17">
        <v>232</v>
      </c>
      <c r="G14">
        <f>INT(LEFT(E14,1))*60+INT(LEFT(RIGHT(E14,3),2))</f>
        <v>65</v>
      </c>
      <c r="J14" s="10" t="s">
        <v>29</v>
      </c>
    </row>
    <row r="15" spans="1:10" ht="17" thickBot="1" x14ac:dyDescent="0.25">
      <c r="A15" s="2"/>
      <c r="B15" s="2"/>
      <c r="C15" s="2" t="s">
        <v>34</v>
      </c>
      <c r="D15" s="2">
        <v>40</v>
      </c>
      <c r="E15" s="3" t="s">
        <v>35</v>
      </c>
      <c r="F15" s="18">
        <v>6000</v>
      </c>
      <c r="G15">
        <f t="shared" ref="G15:G16" si="1">INT(LEFT(E15,1))*60+INT(LEFT(RIGHT(E15,3),2))</f>
        <v>87</v>
      </c>
      <c r="J15" s="10" t="s">
        <v>30</v>
      </c>
    </row>
    <row r="16" spans="1:10" ht="33" thickBot="1" x14ac:dyDescent="0.25">
      <c r="A16" s="2"/>
      <c r="B16" s="2"/>
      <c r="C16" s="2" t="s">
        <v>36</v>
      </c>
      <c r="D16" s="2">
        <v>40</v>
      </c>
      <c r="E16" s="3"/>
      <c r="F16" s="18">
        <v>168000</v>
      </c>
    </row>
  </sheetData>
  <mergeCells count="4">
    <mergeCell ref="A7:A8"/>
    <mergeCell ref="B7:B8"/>
    <mergeCell ref="C7:C8"/>
    <mergeCell ref="D7:D8"/>
  </mergeCells>
  <hyperlinks>
    <hyperlink ref="J6" r:id="rId1" display="https://ftp.ncbi.nlm.nih.gov/.baby/datafiles/.argonne/combined.jsonl.gz" xr:uid="{B15C7EA7-293C-0A4A-A283-EFA8D469566C}"/>
    <hyperlink ref="J12" r:id="rId2" display="https://ftp.ncbi.nlm.nih.gov/pub/datasets/.argonne/combined.v2.jsonl.gz" xr:uid="{ADB35956-D29D-4D4D-9F29-A848CD5CA3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</vt:vector>
  </HeadingPairs>
  <TitlesOfParts>
    <vt:vector size="4" baseType="lpstr">
      <vt:lpstr>v1.data</vt:lpstr>
      <vt:lpstr>v2.data</vt:lpstr>
      <vt:lpstr>v1.curated.309uniq</vt:lpstr>
      <vt:lpstr>v2.records_vs_time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Hendrickson, Curtis (Campus)</dc:creator>
  <cp:lastModifiedBy>Hendrickson, Curtis (Campus)</cp:lastModifiedBy>
  <dcterms:created xsi:type="dcterms:W3CDTF">2026-09-18T05:15:19Z</dcterms:created>
  <dcterms:modified xsi:type="dcterms:W3CDTF">2026-09-18T05:41:12Z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7542bc-63e5-412b-b0a0-d9586028a7d0_Enabled">
    <vt:lpwstr>true</vt:lpwstr>
  </property>
  <property fmtid="{D5CDD505-2E9C-101B-9397-08002B2CF9AE}" pid="3" name="MSIP_Label_ae7542bc-63e5-412b-b0a0-d9586028a7d0_SetDate">
    <vt:lpwstr>2026-09-18T05:24:05Z</vt:lpwstr>
  </property>
  <property fmtid="{D5CDD505-2E9C-101B-9397-08002B2CF9AE}" pid="4" name="MSIP_Label_ae7542bc-63e5-412b-b0a0-d9586028a7d0_Method">
    <vt:lpwstr>Standard</vt:lpwstr>
  </property>
  <property fmtid="{D5CDD505-2E9C-101B-9397-08002B2CF9AE}" pid="5" name="MSIP_Label_ae7542bc-63e5-412b-b0a0-d9586028a7d0_Name">
    <vt:lpwstr>Sensitive</vt:lpwstr>
  </property>
  <property fmtid="{D5CDD505-2E9C-101B-9397-08002B2CF9AE}" pid="6" name="MSIP_Label_ae7542bc-63e5-412b-b0a0-d9586028a7d0_SiteId">
    <vt:lpwstr>d8999fe4-76af-40b3-b435-1d8977abc08c</vt:lpwstr>
  </property>
  <property fmtid="{D5CDD505-2E9C-101B-9397-08002B2CF9AE}" pid="7" name="MSIP_Label_ae7542bc-63e5-412b-b0a0-d9586028a7d0_ActionId">
    <vt:lpwstr>e95a5870-ca34-4b3e-ab59-326bbd130bf9</vt:lpwstr>
  </property>
  <property fmtid="{D5CDD505-2E9C-101B-9397-08002B2CF9AE}" pid="8" name="MSIP_Label_ae7542bc-63e5-412b-b0a0-d9586028a7d0_ContentBits">
    <vt:lpwstr>0</vt:lpwstr>
  </property>
  <property fmtid="{D5CDD505-2E9C-101B-9397-08002B2CF9AE}" pid="9" name="MSIP_Label_ae7542bc-63e5-412b-b0a0-d9586028a7d0_Tag">
    <vt:lpwstr>50, 3, 0, 1</vt:lpwstr>
  </property>
</Properties>
</file>